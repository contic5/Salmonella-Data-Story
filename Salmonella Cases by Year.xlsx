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BC220B04-426D-5B4E-93C3-8619348D659D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sheet1" sheetId="1" r:id="rId1"/>
  </sheets>
  <definedNames>
    <definedName name="_xlchart.v1.0" hidden="1">sheet1!$A$2:$A$15</definedName>
    <definedName name="_xlchart.v1.1" hidden="1">sheet1!$B$2:$B$15</definedName>
    <definedName name="_xlchart.v1.2" hidden="1">sheet1!$C$1</definedName>
    <definedName name="_xlchart.v1.3" hidden="1">sheet1!$A$2:$A$15</definedName>
    <definedName name="_xlchart.v1.4" hidden="1">sheet1!$B$2:$B$15</definedName>
    <definedName name="_xlchart.v1.5" hidden="1">sheet1!$C$1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<sst xmlns="http://schemas.openxmlformats.org/spreadsheetml/2006/main" count="4" uniqueCount="4">
  <si>
    <t>Year_</t>
  </si>
  <si>
    <t>Total_Outbreaks</t>
  </si>
  <si>
    <t>Percent_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</si>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</sst>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Percent_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sheet1!$C$2:$C$15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 formatCode="0.00%">
                  <c:v>2.9999999999999997E-4</c:v>
                </c:pt>
                <c:pt idx="3" formatCode="0.00%">
                  <c:v>8.9999999999999998E-4</c:v>
                </c:pt>
                <c:pt idx="4" formatCode="0.00%">
                  <c:v>6.7000000000000002E-3</c:v>
                </c:pt>
                <c:pt idx="5" formatCode="0.00%">
                  <c:v>4.5400000000000003E-2</c:v>
                </c:pt>
                <c:pt idx="6" formatCode="0.00%">
                  <c:v>3.2599999999999997E-2</c:v>
                </c:pt>
                <c:pt idx="7" formatCode="0.00%">
                  <c:v>7.8799999999999995E-2</c:v>
                </c:pt>
                <c:pt idx="8" formatCode="0.00%">
                  <c:v>0.1187</c:v>
                </c:pt>
                <c:pt idx="9" formatCode="0.00%">
                  <c:v>0.1384</c:v>
                </c:pt>
                <c:pt idx="10" formatCode="0.00%">
                  <c:v>0.14219999999999999</c:v>
                </c:pt>
                <c:pt idx="11" formatCode="0.00%">
                  <c:v>0.14799999999999999</c:v>
                </c:pt>
                <c:pt idx="12" formatCode="0.00%">
                  <c:v>0.15379999999999999</c:v>
                </c:pt>
                <c:pt idx="13" formatCode="0.00%">
                  <c:v>0.1341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1-FB4B-B95F-C231E9D1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571872"/>
        <c:axId val="1579847520"/>
      </c:barChart>
      <c:catAx>
        <c:axId val="157957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7520"/>
        <c:crosses val="autoZero"/>
        <c:auto val="1"/>
        <c:lblAlgn val="ctr"/>
        <c:lblOffset val="100"/>
        <c:noMultiLvlLbl val="0"/>
      </c:catAx>
      <c:valAx>
        <c:axId val="15798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5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Salmonella Outbreaks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Percent_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26</c:v>
                </c:pt>
                <c:pt idx="1">
                  <c:v>8</c:v>
                </c:pt>
                <c:pt idx="2">
                  <c:v>189</c:v>
                </c:pt>
                <c:pt idx="3">
                  <c:v>551</c:v>
                </c:pt>
                <c:pt idx="4">
                  <c:v>3922</c:v>
                </c:pt>
                <c:pt idx="5">
                  <c:v>26538</c:v>
                </c:pt>
                <c:pt idx="6">
                  <c:v>19090</c:v>
                </c:pt>
                <c:pt idx="7">
                  <c:v>46067</c:v>
                </c:pt>
                <c:pt idx="8">
                  <c:v>69450</c:v>
                </c:pt>
                <c:pt idx="9">
                  <c:v>80948</c:v>
                </c:pt>
                <c:pt idx="10">
                  <c:v>83170</c:v>
                </c:pt>
                <c:pt idx="11">
                  <c:v>86595</c:v>
                </c:pt>
                <c:pt idx="12">
                  <c:v>89975</c:v>
                </c:pt>
                <c:pt idx="13">
                  <c:v>78435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0-A247-989D-C373FADE64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9571872"/>
        <c:axId val="1579847520"/>
      </c:lineChart>
      <c:catAx>
        <c:axId val="157957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7520"/>
        <c:crosses val="autoZero"/>
        <c:auto val="1"/>
        <c:lblAlgn val="ctr"/>
        <c:lblOffset val="100"/>
        <c:noMultiLvlLbl val="0"/>
      </c:catAx>
      <c:valAx>
        <c:axId val="15798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Salmonella Outbreaks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57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14</xdr:row>
      <xdr:rowOff>82550</xdr:rowOff>
    </xdr:from>
    <xdr:to>
      <xdr:col>10</xdr:col>
      <xdr:colOff>133350</xdr:colOff>
      <xdr:row>27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4897A5-7D5F-F19F-1CF9-62F40602E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25400</xdr:rowOff>
    </xdr:from>
    <xdr:to>
      <xdr:col>20</xdr:col>
      <xdr:colOff>241300</xdr:colOff>
      <xdr:row>25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DC474-0ACD-5344-B31B-3CA2B0880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D87C7-9C3C-7345-939D-DE5842AEEC0D}" name="Table1" displayName="Table1" ref="A1:D15" totalsRowShown="0">
  <autoFilter ref="A1:D15" xr:uid="{C9AD87C7-9C3C-7345-939D-DE5842AEEC0D}"/>
  <tableColumns count="4">
    <tableColumn id="1" xr3:uid="{D9F76764-0104-4E4A-B639-4B3B6F6538F8}" name="Year_"/>
    <tableColumn id="2" xr3:uid="{0ACA26F8-8C00-5F43-8694-D4B62FA96620}" name="Total_Outbreaks"/>
    <tableColumn id="3" xr3:uid="{66AFB327-6124-CE40-A6A6-17FFAE33A510}" name="Percent_"/>
    <tableColumn id="7" xr3:uid="{B260CB86-F199-F84D-860C-EB3C267F1386}" name="Change" dataDxfId="0">
      <calculatedColumnFormula>IFERROR(B3/Table1[[#This Row],[Total_Outbreaks]],1)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Q2" sqref="Q2"/>
    </sheetView>
  </sheetViews>
  <sheetFormatPr baseColWidth="10" defaultRowHeight="15" x14ac:dyDescent="0.2"/>
  <cols>
    <col min="2" max="2" width="15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2010</v>
      </c>
      <c r="B2">
        <v>26</v>
      </c>
      <c r="C2" s="1">
        <v>0</v>
      </c>
      <c r="D2">
        <f>IFERROR(B3/Table1[[#This Row],[Total_Outbreaks]],1)</f>
        <v>0.30769230769230771</v>
      </c>
    </row>
    <row r="3" spans="1:4" x14ac:dyDescent="0.2">
      <c r="A3">
        <v>2011</v>
      </c>
      <c r="B3">
        <v>8</v>
      </c>
      <c r="C3" s="1">
        <v>0</v>
      </c>
      <c r="D3">
        <f>IFERROR(B4/Table1[[#This Row],[Total_Outbreaks]],1)</f>
        <v>23.625</v>
      </c>
    </row>
    <row r="4" spans="1:4" x14ac:dyDescent="0.2">
      <c r="A4">
        <v>2012</v>
      </c>
      <c r="B4">
        <v>189</v>
      </c>
      <c r="C4" s="2">
        <v>2.9999999999999997E-4</v>
      </c>
      <c r="D4">
        <f>IFERROR(B5/Table1[[#This Row],[Total_Outbreaks]],1)</f>
        <v>2.9153439153439153</v>
      </c>
    </row>
    <row r="5" spans="1:4" x14ac:dyDescent="0.2">
      <c r="A5">
        <v>2013</v>
      </c>
      <c r="B5">
        <v>551</v>
      </c>
      <c r="C5" s="2">
        <v>8.9999999999999998E-4</v>
      </c>
      <c r="D5">
        <f>IFERROR(B6/Table1[[#This Row],[Total_Outbreaks]],1)</f>
        <v>7.1179673321234116</v>
      </c>
    </row>
    <row r="6" spans="1:4" x14ac:dyDescent="0.2">
      <c r="A6">
        <v>2014</v>
      </c>
      <c r="B6">
        <v>3922</v>
      </c>
      <c r="C6" s="2">
        <v>6.7000000000000002E-3</v>
      </c>
      <c r="D6">
        <f>IFERROR(B7/Table1[[#This Row],[Total_Outbreaks]],1)</f>
        <v>6.7664456909739927</v>
      </c>
    </row>
    <row r="7" spans="1:4" x14ac:dyDescent="0.2">
      <c r="A7">
        <v>2015</v>
      </c>
      <c r="B7">
        <v>26538</v>
      </c>
      <c r="C7" s="2">
        <v>4.5400000000000003E-2</v>
      </c>
      <c r="D7">
        <f>IFERROR(B8/Table1[[#This Row],[Total_Outbreaks]],1)</f>
        <v>0.71934584369583243</v>
      </c>
    </row>
    <row r="8" spans="1:4" x14ac:dyDescent="0.2">
      <c r="A8">
        <v>2016</v>
      </c>
      <c r="B8">
        <v>19090</v>
      </c>
      <c r="C8" s="2">
        <v>3.2599999999999997E-2</v>
      </c>
      <c r="D8">
        <f>IFERROR(B9/Table1[[#This Row],[Total_Outbreaks]],1)</f>
        <v>2.413148245154531</v>
      </c>
    </row>
    <row r="9" spans="1:4" x14ac:dyDescent="0.2">
      <c r="A9">
        <v>2017</v>
      </c>
      <c r="B9">
        <v>46067</v>
      </c>
      <c r="C9" s="2">
        <v>7.8799999999999995E-2</v>
      </c>
      <c r="D9">
        <f>IFERROR(B10/Table1[[#This Row],[Total_Outbreaks]],1)</f>
        <v>1.5075867757830985</v>
      </c>
    </row>
    <row r="10" spans="1:4" x14ac:dyDescent="0.2">
      <c r="A10">
        <v>2018</v>
      </c>
      <c r="B10">
        <v>69450</v>
      </c>
      <c r="C10" s="2">
        <v>0.1187</v>
      </c>
      <c r="D10">
        <f>IFERROR(B11/Table1[[#This Row],[Total_Outbreaks]],1)</f>
        <v>1.1655579553635709</v>
      </c>
    </row>
    <row r="11" spans="1:4" x14ac:dyDescent="0.2">
      <c r="A11">
        <v>2019</v>
      </c>
      <c r="B11">
        <v>80948</v>
      </c>
      <c r="C11" s="2">
        <v>0.1384</v>
      </c>
      <c r="D11">
        <f>IFERROR(B12/Table1[[#This Row],[Total_Outbreaks]],1)</f>
        <v>1.0274497208084201</v>
      </c>
    </row>
    <row r="12" spans="1:4" x14ac:dyDescent="0.2">
      <c r="A12">
        <v>2020</v>
      </c>
      <c r="B12">
        <v>83170</v>
      </c>
      <c r="C12" s="2">
        <v>0.14219999999999999</v>
      </c>
      <c r="D12">
        <f>IFERROR(B13/Table1[[#This Row],[Total_Outbreaks]],1)</f>
        <v>1.0411807141998317</v>
      </c>
    </row>
    <row r="13" spans="1:4" x14ac:dyDescent="0.2">
      <c r="A13">
        <v>2021</v>
      </c>
      <c r="B13">
        <v>86595</v>
      </c>
      <c r="C13" s="2">
        <v>0.14799999999999999</v>
      </c>
      <c r="D13">
        <f>IFERROR(B14/Table1[[#This Row],[Total_Outbreaks]],1)</f>
        <v>1.0390322766903402</v>
      </c>
    </row>
    <row r="14" spans="1:4" x14ac:dyDescent="0.2">
      <c r="A14">
        <v>2022</v>
      </c>
      <c r="B14">
        <v>89975</v>
      </c>
      <c r="C14" s="2">
        <v>0.15379999999999999</v>
      </c>
      <c r="D14">
        <f>IFERROR(B15/Table1[[#This Row],[Total_Outbreaks]],1)</f>
        <v>0.87174215059738813</v>
      </c>
    </row>
    <row r="15" spans="1:4" x14ac:dyDescent="0.2">
      <c r="A15">
        <v>2023</v>
      </c>
      <c r="B15">
        <v>78435</v>
      </c>
      <c r="C15" s="2">
        <v>0.1341</v>
      </c>
      <c r="D15">
        <f>IFERROR(B16/Table1[[#This Row],[Total_Outbreaks]],1)</f>
        <v>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2025-01-05T15:53:49Z</dcterms:modified>
</cp:coreProperties>
</file>